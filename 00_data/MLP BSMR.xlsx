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NEMA" sheetId="1" r:id="rId1"/>
    <sheet name="KYO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<sst xmlns="http://schemas.openxmlformats.org/spreadsheetml/2006/main" count="7" uniqueCount="6">
  <si>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Volume</t>
  </si>
  <si>
    <t>BSMR</t>
  </si>
  <si>
    <t>optimal theshold</t>
  </si>
  <si>
    <t>volume</t>
  </si>
  <si>
    <t>optimal threshold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</si>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</sst>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1">
    <font>
      <sz val="11"/>
      <color theme="1"/>
      <name val="Aptos Narrow"/>
      <charset val="177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9" fontId="0" fillId="0" borderId="0" xfId="0" applyNumberForma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3" applyNumberFormat="1" applyFont="1" applyBorder="1" applyAlignment="1">
      <alignment horizontal="center" vertical="center"/>
    </xf>
    <xf numFmtId="178" fontId="0" fillId="0" borderId="0" xfId="3" applyNumberFormat="1" applyFont="1" applyBorder="1" applyAlignment="1">
      <alignment horizontal="center" vertical="center"/>
    </xf>
    <xf numFmtId="178" fontId="0" fillId="0" borderId="0" xfId="3" applyNumberFormat="1" applyFont="1" applyAlignment="1">
      <alignment horizontal="center" vertical="center"/>
    </xf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F11" sqref="F11"/>
    </sheetView>
  </sheetViews>
  <sheetFormatPr defaultColWidth="9" defaultRowHeight="13.8" outlineLevelCol="2"/>
  <cols>
    <col min="3" max="3" width="14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25.94</v>
      </c>
      <c r="B2">
        <v>0.0128794182970152</v>
      </c>
      <c r="C2" s="7">
        <v>0.3</v>
      </c>
    </row>
    <row r="3" spans="1:3">
      <c r="A3">
        <v>11.4</v>
      </c>
      <c r="B3">
        <v>0.0153758245613073</v>
      </c>
      <c r="C3" s="7">
        <v>0.3</v>
      </c>
    </row>
    <row r="4" spans="1:3">
      <c r="A4">
        <v>5.59</v>
      </c>
      <c r="B4">
        <v>0.0184894691919075</v>
      </c>
      <c r="C4" s="7">
        <v>0.3</v>
      </c>
    </row>
    <row r="5" spans="1:3">
      <c r="A5">
        <v>2.43</v>
      </c>
      <c r="B5">
        <v>0.0218971977207088</v>
      </c>
      <c r="C5" s="7">
        <v>0.3</v>
      </c>
    </row>
    <row r="6" spans="1:3">
      <c r="A6">
        <v>25.94</v>
      </c>
      <c r="B6">
        <v>0.0879611790637892</v>
      </c>
      <c r="C6" s="7">
        <v>0.35</v>
      </c>
    </row>
    <row r="7" spans="1:3">
      <c r="A7">
        <v>11.4</v>
      </c>
      <c r="B7">
        <v>0.106856584765723</v>
      </c>
      <c r="C7" s="7">
        <v>0.3</v>
      </c>
    </row>
    <row r="8" spans="1:3">
      <c r="A8">
        <v>5.59</v>
      </c>
      <c r="B8">
        <v>0.132299495607442</v>
      </c>
      <c r="C8" s="7">
        <v>0.3</v>
      </c>
    </row>
    <row r="9" spans="1:3">
      <c r="A9">
        <v>2.43</v>
      </c>
      <c r="B9">
        <v>0.195484361349805</v>
      </c>
      <c r="C9" s="7">
        <v>0.45</v>
      </c>
    </row>
    <row r="10" spans="1:3">
      <c r="A10">
        <v>25.94</v>
      </c>
      <c r="B10">
        <v>0.132314360796694</v>
      </c>
      <c r="C10" s="7">
        <v>0.35</v>
      </c>
    </row>
    <row r="11" spans="1:3">
      <c r="A11">
        <v>11.4</v>
      </c>
      <c r="B11">
        <v>0.16309366417816</v>
      </c>
      <c r="C11" s="7">
        <v>0.3</v>
      </c>
    </row>
    <row r="12" spans="1:3">
      <c r="A12">
        <v>5.59</v>
      </c>
      <c r="B12">
        <v>0.214612183030331</v>
      </c>
      <c r="C12" s="7">
        <v>0.4</v>
      </c>
    </row>
    <row r="13" spans="1:3">
      <c r="A13">
        <v>2.43</v>
      </c>
      <c r="B13">
        <v>0.269598763000758</v>
      </c>
      <c r="C13" s="7">
        <v>0.6</v>
      </c>
    </row>
    <row r="14" spans="1:3">
      <c r="A14">
        <v>25.94</v>
      </c>
      <c r="B14">
        <v>0.256378875745957</v>
      </c>
      <c r="C14" s="7">
        <v>0.35</v>
      </c>
    </row>
    <row r="15" spans="1:3">
      <c r="A15">
        <v>11.4</v>
      </c>
      <c r="B15">
        <v>0.29893968969657</v>
      </c>
      <c r="C15" s="7">
        <v>0.35</v>
      </c>
    </row>
    <row r="16" spans="1:3">
      <c r="A16">
        <v>5.59</v>
      </c>
      <c r="B16">
        <v>0.411997250224186</v>
      </c>
      <c r="C16" s="7">
        <v>0.45</v>
      </c>
    </row>
    <row r="17" spans="1:3">
      <c r="A17">
        <v>2.43</v>
      </c>
      <c r="B17">
        <v>0.541843749480913</v>
      </c>
      <c r="C17" s="7">
        <v>0.6</v>
      </c>
    </row>
    <row r="18" spans="1:3">
      <c r="A18">
        <v>25.94</v>
      </c>
      <c r="B18">
        <v>0.387186054289684</v>
      </c>
      <c r="C18" s="7">
        <v>0.45</v>
      </c>
    </row>
    <row r="19" spans="1:3">
      <c r="A19">
        <v>11.4</v>
      </c>
      <c r="B19">
        <v>0.451398820544559</v>
      </c>
      <c r="C19" s="7">
        <v>0.45</v>
      </c>
    </row>
    <row r="20" spans="1:3">
      <c r="A20">
        <v>5.59</v>
      </c>
      <c r="B20">
        <v>0.533118426461362</v>
      </c>
      <c r="C20" s="7">
        <v>0.45</v>
      </c>
    </row>
    <row r="21" spans="1:3">
      <c r="A21">
        <v>2.43</v>
      </c>
      <c r="B21">
        <v>0.690860737236934</v>
      </c>
      <c r="C21" s="7">
        <v>0.6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D18" sqref="D18"/>
    </sheetView>
  </sheetViews>
  <sheetFormatPr defaultColWidth="9" defaultRowHeight="13.8"/>
  <cols>
    <col min="3" max="3" width="14.875" customWidth="1"/>
    <col min="4" max="4" width="10" customWidth="1"/>
    <col min="5" max="5" width="15.75" customWidth="1"/>
  </cols>
  <sheetData>
    <row r="1" spans="1:4">
      <c r="A1" t="s">
        <v>3</v>
      </c>
      <c r="B1" t="s">
        <v>1</v>
      </c>
      <c r="C1" t="s">
        <v>4</v>
      </c>
      <c r="D1" t="s">
        <v>5</v>
      </c>
    </row>
    <row r="2" spans="1:4">
      <c r="A2">
        <v>2.43</v>
      </c>
      <c r="B2">
        <f>41918/417110</f>
        <v>0.100496271966628</v>
      </c>
      <c r="C2" s="1">
        <v>0.46</v>
      </c>
      <c r="D2" s="2">
        <f>(420561-417110)/417110</f>
        <v>0.00827359689290595</v>
      </c>
    </row>
    <row r="3" spans="1:4">
      <c r="A3">
        <v>5.59</v>
      </c>
      <c r="B3">
        <f>74143/464957</f>
        <v>0.159462057781687</v>
      </c>
      <c r="C3" s="1">
        <v>0.36</v>
      </c>
      <c r="D3" s="2">
        <f>(460637-464957)/464957</f>
        <v>-0.00929118176519549</v>
      </c>
    </row>
    <row r="4" spans="1:4">
      <c r="A4">
        <v>11.4</v>
      </c>
      <c r="B4">
        <f>60228/574022</f>
        <v>0.104922807836633</v>
      </c>
      <c r="C4" s="1">
        <v>0.29</v>
      </c>
      <c r="D4" s="2">
        <f>(569571-574022)/574022</f>
        <v>-0.00775405820682831</v>
      </c>
    </row>
    <row r="5" spans="1:4">
      <c r="A5">
        <v>25.94</v>
      </c>
      <c r="B5">
        <v>0.09</v>
      </c>
      <c r="C5" s="1">
        <v>0.35</v>
      </c>
      <c r="D5" s="2">
        <f>(728214-725012)/725012</f>
        <v>0.00441647862380209</v>
      </c>
    </row>
    <row r="6" spans="1:4">
      <c r="A6">
        <v>2.43</v>
      </c>
      <c r="B6" s="3">
        <f>16444/220664</f>
        <v>0.074520538012544</v>
      </c>
      <c r="C6" s="1">
        <v>0.35</v>
      </c>
      <c r="D6" s="4">
        <f>(218906-220664)/220664</f>
        <v>-0.00796686364789907</v>
      </c>
    </row>
    <row r="7" spans="1:4">
      <c r="A7">
        <v>5.59</v>
      </c>
      <c r="B7" s="3">
        <f>35065/236359</f>
        <v>0.148354833114034</v>
      </c>
      <c r="C7" s="1">
        <v>0.27</v>
      </c>
      <c r="D7" s="4">
        <f>(237514-236356)/236356</f>
        <v>0.00489938905718492</v>
      </c>
    </row>
    <row r="8" spans="1:4">
      <c r="A8">
        <v>11.4</v>
      </c>
      <c r="B8" s="3">
        <f>55453/302198</f>
        <v>0.183498898073449</v>
      </c>
      <c r="C8" s="1">
        <v>0.33</v>
      </c>
      <c r="D8" s="4">
        <f>(301570-302198)/302198</f>
        <v>-0.00207810773069312</v>
      </c>
    </row>
    <row r="9" spans="1:4">
      <c r="A9">
        <v>25.94</v>
      </c>
      <c r="B9" s="3">
        <f>25847/402707</f>
        <v>0.0641831405960165</v>
      </c>
      <c r="C9" s="1">
        <v>0.35</v>
      </c>
      <c r="D9" s="4">
        <f>(405530-402707)/402707</f>
        <v>0.00701005942285582</v>
      </c>
    </row>
    <row r="10" spans="1:4">
      <c r="A10">
        <v>2.43</v>
      </c>
      <c r="B10" s="3">
        <f>11304/134616</f>
        <v>0.083972187555714</v>
      </c>
      <c r="C10" s="1">
        <v>0.44</v>
      </c>
      <c r="D10" s="2">
        <f>(135665-134616)/134616</f>
        <v>0.0077925358055506</v>
      </c>
    </row>
    <row r="11" spans="1:4">
      <c r="A11">
        <v>5.59</v>
      </c>
      <c r="B11" s="3">
        <f>18519/140893</f>
        <v>0.131440170909839</v>
      </c>
      <c r="C11" s="1">
        <v>0.32</v>
      </c>
      <c r="D11" s="2">
        <f>(140866-140893)/140893</f>
        <v>-0.000191634786682092</v>
      </c>
    </row>
    <row r="12" spans="1:4">
      <c r="A12">
        <v>11.4</v>
      </c>
      <c r="B12" s="3">
        <f>42258/187296</f>
        <v>0.225621476166069</v>
      </c>
      <c r="C12" s="1">
        <v>0.34</v>
      </c>
      <c r="D12" s="2">
        <f>(186609-187296)/187296</f>
        <v>-0.00366799077396207</v>
      </c>
    </row>
    <row r="13" spans="1:4">
      <c r="A13">
        <v>25.94</v>
      </c>
      <c r="B13" s="3">
        <f>17464/250944</f>
        <v>0.0695932160163224</v>
      </c>
      <c r="C13" s="1">
        <v>0.28</v>
      </c>
      <c r="D13" s="2">
        <f>(252353-250944)/250944</f>
        <v>0.00561479852078551</v>
      </c>
    </row>
    <row r="21" spans="7:11">
      <c r="G21" s="5"/>
      <c r="H21" s="5"/>
      <c r="I21" s="5"/>
      <c r="J21" s="5"/>
    </row>
    <row r="26" spans="7:11">
      <c r="H26" s="6"/>
      <c r="I26" s="6"/>
      <c r="J26" s="6"/>
      <c r="K26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NEMA</vt:lpstr>
      <vt:lpstr>KYOTO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דוד עמרם</dc:creator>
  <cp:lastModifiedBy>David AMRAM</cp:lastModifiedBy>
  <dcterms:created xsi:type="dcterms:W3CDTF">2026-05-27T13:02:00Z</dcterms:created>
  <dcterms:modified xsi:type="dcterms:W3CDTF">2026-05-27T14:48:56Z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39FE55E2769044BE9646E02DAD6BD59A_12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